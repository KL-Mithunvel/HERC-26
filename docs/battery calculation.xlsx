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A\Desktop\"/>
    </mc:Choice>
  </mc:AlternateContent>
  <xr:revisionPtr revIDLastSave="0" documentId="8_{2CD2A32B-2CCE-40F2-85E1-24A7B91C2254}" xr6:coauthVersionLast="47" xr6:coauthVersionMax="47" xr10:uidLastSave="{00000000-0000-0000-0000-000000000000}"/>
  <bookViews>
    <workbookView xWindow="-108" yWindow="-108" windowWidth="23256" windowHeight="13896" xr2:uid="{4B79B3D6-2020-4CFE-A591-FF77634668CC}"/>
  </bookViews>
  <sheets>
    <sheet name="LiPo ADC 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8" i="1" l="1"/>
  <c r="F69" i="1"/>
  <c r="F70" i="1"/>
  <c r="F71" i="1"/>
  <c r="F72" i="1"/>
  <c r="F73" i="1"/>
  <c r="F74" i="1"/>
  <c r="F75" i="1"/>
  <c r="F76" i="1"/>
  <c r="F77" i="1"/>
  <c r="F78" i="1"/>
  <c r="E68" i="1"/>
  <c r="E69" i="1"/>
  <c r="E70" i="1"/>
  <c r="E71" i="1"/>
  <c r="E72" i="1"/>
  <c r="E73" i="1"/>
  <c r="E74" i="1"/>
  <c r="E75" i="1"/>
  <c r="E76" i="1"/>
  <c r="E77" i="1"/>
  <c r="E78" i="1"/>
  <c r="D68" i="1"/>
  <c r="D69" i="1"/>
  <c r="D70" i="1"/>
  <c r="D71" i="1"/>
  <c r="D72" i="1"/>
  <c r="D73" i="1"/>
  <c r="D74" i="1"/>
  <c r="D75" i="1"/>
  <c r="D76" i="1"/>
  <c r="D77" i="1"/>
  <c r="D78" i="1"/>
  <c r="C68" i="1"/>
  <c r="C69" i="1"/>
  <c r="C70" i="1"/>
  <c r="C71" i="1"/>
  <c r="C72" i="1"/>
  <c r="C73" i="1"/>
  <c r="C74" i="1"/>
  <c r="C75" i="1"/>
  <c r="C76" i="1"/>
  <c r="C77" i="1"/>
  <c r="C78" i="1"/>
  <c r="B68" i="1"/>
  <c r="B69" i="1"/>
  <c r="B70" i="1"/>
  <c r="B71" i="1"/>
  <c r="B72" i="1"/>
  <c r="B73" i="1"/>
  <c r="B74" i="1"/>
  <c r="B75" i="1"/>
  <c r="B76" i="1"/>
  <c r="B77" i="1"/>
  <c r="B78" i="1"/>
  <c r="D64" i="1"/>
  <c r="B64" i="1"/>
  <c r="D63" i="1"/>
  <c r="B63" i="1"/>
  <c r="D62" i="1"/>
  <c r="B62" i="1"/>
  <c r="D61" i="1"/>
  <c r="B61" i="1"/>
  <c r="D60" i="1"/>
  <c r="B60" i="1"/>
  <c r="D59" i="1"/>
  <c r="B59" i="1"/>
  <c r="B58" i="1"/>
  <c r="D54" i="1"/>
  <c r="D53" i="1"/>
  <c r="D52" i="1"/>
  <c r="D48" i="1"/>
  <c r="D47" i="1"/>
  <c r="D46" i="1"/>
  <c r="D45" i="1"/>
  <c r="D41" i="1"/>
  <c r="D40" i="1"/>
  <c r="D39" i="1"/>
  <c r="D37" i="1"/>
  <c r="D36" i="1"/>
  <c r="D35" i="1"/>
  <c r="D34" i="1"/>
  <c r="D27" i="1"/>
  <c r="D30" i="1"/>
  <c r="D29" i="1"/>
  <c r="D28" i="1"/>
  <c r="D26" i="1"/>
  <c r="D25" i="1"/>
  <c r="D20" i="1"/>
  <c r="D19" i="1"/>
  <c r="D18" i="1"/>
  <c r="D17" i="1"/>
  <c r="D16" i="1"/>
  <c r="D15" i="1"/>
</calcChain>
</file>

<file path=xl/sharedStrings.xml><?xml version="1.0" encoding="utf-8"?>
<sst xmlns="http://schemas.openxmlformats.org/spreadsheetml/2006/main" count="194" uniqueCount="147">
  <si>
    <t>LiPo Battery Voltage Measurement — ADS1115 on Raspberry Pi 5</t>
  </si>
  <si>
    <t>SECTION 1: INPUT ASSUMPTIONS</t>
  </si>
  <si>
    <t>Parameter</t>
  </si>
  <si>
    <t>Symbol</t>
  </si>
  <si>
    <t>Value</t>
  </si>
  <si>
    <t>Unit</t>
  </si>
  <si>
    <t>Notes</t>
  </si>
  <si>
    <t>Battery Voltage (actual)</t>
  </si>
  <si>
    <t>V_batt</t>
  </si>
  <si>
    <t>V</t>
  </si>
  <si>
    <t>3S LiPo fully charged (3×4.2V). Change this to test.</t>
  </si>
  <si>
    <t>Battery Min Voltage</t>
  </si>
  <si>
    <t>V_min</t>
  </si>
  <si>
    <t>3S LiPo discharged (3×3.0V)</t>
  </si>
  <si>
    <t>Battery Max Voltage</t>
  </si>
  <si>
    <t>V_max</t>
  </si>
  <si>
    <t>3S LiPo fully charged</t>
  </si>
  <si>
    <t>R1 (top, battery-side)</t>
  </si>
  <si>
    <t>R1</t>
  </si>
  <si>
    <t>Ω</t>
  </si>
  <si>
    <t>Upper resistor in voltage divider</t>
  </si>
  <si>
    <t>R2 (bottom, GND-side)</t>
  </si>
  <si>
    <t>R2</t>
  </si>
  <si>
    <t>Lower resistor in voltage divider</t>
  </si>
  <si>
    <t>ADS1115 Gain Setting</t>
  </si>
  <si>
    <t>PGA</t>
  </si>
  <si>
    <t>GAIN_ONE</t>
  </si>
  <si>
    <t>Options: GAIN_TWOTHIRDS, GAIN_ONE, GAIN_TWO, GAIN_FOUR, GAIN_EIGHT, GAIN_SIXTEEN</t>
  </si>
  <si>
    <t>ADS1115 Resolution</t>
  </si>
  <si>
    <t>n_bits</t>
  </si>
  <si>
    <t>bits</t>
  </si>
  <si>
    <t>15-bit effective (1 sign bit). Fixed for ADS1115.</t>
  </si>
  <si>
    <t>SECTION 2: ADS1115 GAIN LOOKUP TABLE</t>
  </si>
  <si>
    <t>Gain Name</t>
  </si>
  <si>
    <t>Gain Multiplier</t>
  </si>
  <si>
    <t>Full-Scale Range (V)</t>
  </si>
  <si>
    <t>LSB Size (V)</t>
  </si>
  <si>
    <t>GAIN_TWOTHIRDS</t>
  </si>
  <si>
    <t>GAIN_TWO</t>
  </si>
  <si>
    <t>GAIN_FOUR</t>
  </si>
  <si>
    <t>GAIN_EIGHT</t>
  </si>
  <si>
    <t>GAIN_SIXTEEN</t>
  </si>
  <si>
    <t>SECTION 3: VOLTAGE DIVIDER</t>
  </si>
  <si>
    <t>Formula</t>
  </si>
  <si>
    <t>Divider Ratio</t>
  </si>
  <si>
    <t>k</t>
  </si>
  <si>
    <t>R2 / (R1 + R2)</t>
  </si>
  <si>
    <t>Fraction of V_batt seen at ADC input</t>
  </si>
  <si>
    <t>Divided Voltage (at ADC input)</t>
  </si>
  <si>
    <t>V_div</t>
  </si>
  <si>
    <t>V_batt × k</t>
  </si>
  <si>
    <t>Must be &lt; FSR of selected gain!</t>
  </si>
  <si>
    <t>Divider Current</t>
  </si>
  <si>
    <t>I_div</t>
  </si>
  <si>
    <t>V_batt / (R1+R2)</t>
  </si>
  <si>
    <t>mA</t>
  </si>
  <si>
    <t>Quiescent current through divider (power loss)</t>
  </si>
  <si>
    <t>V_div at V_min</t>
  </si>
  <si>
    <t>V_min × k</t>
  </si>
  <si>
    <t>Lowest expected ADC input</t>
  </si>
  <si>
    <t>V_div at V_max</t>
  </si>
  <si>
    <t>V_max × k</t>
  </si>
  <si>
    <t>Highest expected ADC input</t>
  </si>
  <si>
    <t>Scale Factor (V_batt/V_div)</t>
  </si>
  <si>
    <t>SF</t>
  </si>
  <si>
    <t>(R1 + R2) / R2</t>
  </si>
  <si>
    <t>Multiply ADC voltage by this to get battery voltage</t>
  </si>
  <si>
    <t>SECTION 4: ADS1115 ADC CONVERSION</t>
  </si>
  <si>
    <t>Selected Gain (from lookup)</t>
  </si>
  <si>
    <t>VLOOKUP on gain name</t>
  </si>
  <si>
    <t>Gain multiplier from lookup table</t>
  </si>
  <si>
    <t>Full-Scale Range (FSR)</t>
  </si>
  <si>
    <t>FSR</t>
  </si>
  <si>
    <t>LSB Size</t>
  </si>
  <si>
    <t>LSB</t>
  </si>
  <si>
    <t>FSR / 2^15</t>
  </si>
  <si>
    <t>V/count</t>
  </si>
  <si>
    <t>Voltage resolution per digital count</t>
  </si>
  <si>
    <t>Max Positive Count</t>
  </si>
  <si>
    <t>2^15 - 1</t>
  </si>
  <si>
    <t>counts</t>
  </si>
  <si>
    <t>32767 for 16-bit signed</t>
  </si>
  <si>
    <t>V_div Input to ADC</t>
  </si>
  <si>
    <t>V_in</t>
  </si>
  <si>
    <t>x</t>
  </si>
  <si>
    <t>FSR (single-ended: 0 to FSR)</t>
  </si>
  <si>
    <t>V_div from Sec 3</t>
  </si>
  <si>
    <t>Analog voltage at ADS1115 input pin</t>
  </si>
  <si>
    <t>ADC Raw Count (ideal)</t>
  </si>
  <si>
    <t>raw</t>
  </si>
  <si>
    <t>V_in / LSB</t>
  </si>
  <si>
    <t>Integer raw value Pi receives via I2C</t>
  </si>
  <si>
    <t>Input Saturation Check</t>
  </si>
  <si>
    <t>V_div &lt; FSR?</t>
  </si>
  <si>
    <t>If CLIPPED, increase R1 or use lower gain</t>
  </si>
  <si>
    <t>SECTION 5: Pi-SIDE PYTHON SCALING</t>
  </si>
  <si>
    <t>Raw Count from Pi (simulated)</t>
  </si>
  <si>
    <t>raw_pi</t>
  </si>
  <si>
    <t>Value Python reads from ADS1115 library</t>
  </si>
  <si>
    <t>Step 1: ADC Voltage</t>
  </si>
  <si>
    <t>V_adc</t>
  </si>
  <si>
    <t>raw * LSB</t>
  </si>
  <si>
    <t>Convert raw count back to voltage at divider output</t>
  </si>
  <si>
    <t>Step 2: Battery Voltage</t>
  </si>
  <si>
    <t>V_calc</t>
  </si>
  <si>
    <t>V_adc * SF</t>
  </si>
  <si>
    <t>Final engineering value = battery voltage</t>
  </si>
  <si>
    <t>Alternative: Single-Step</t>
  </si>
  <si>
    <t>raw * LSB * SF</t>
  </si>
  <si>
    <t>Combined: raw * (FSR/32768) * ((R1+R2)/R2)</t>
  </si>
  <si>
    <t>SECTION 6: VERIFICATION &amp; PYTHON CONSTANTS</t>
  </si>
  <si>
    <t>Round-Trip Error</t>
  </si>
  <si>
    <t>err</t>
  </si>
  <si>
    <t>V_calc - V_batt</t>
  </si>
  <si>
    <t>Quantization error (should be near 0)</t>
  </si>
  <si>
    <t>Round-Trip Error %</t>
  </si>
  <si>
    <t>err%</t>
  </si>
  <si>
    <t>err / V_batt</t>
  </si>
  <si>
    <t>%</t>
  </si>
  <si>
    <t>Percentage error from quantization</t>
  </si>
  <si>
    <t>Battery-side resolution</t>
  </si>
  <si>
    <t>res</t>
  </si>
  <si>
    <t>LSB * SF</t>
  </si>
  <si>
    <t>Smallest detectable battery voltage change</t>
  </si>
  <si>
    <t>PYTHON CONSTANTS (copy to code)</t>
  </si>
  <si>
    <t>Python Variable</t>
  </si>
  <si>
    <t>Source Cell</t>
  </si>
  <si>
    <t>Code</t>
  </si>
  <si>
    <t>GAIN</t>
  </si>
  <si>
    <t>C10</t>
  </si>
  <si>
    <t>ADS1115_GAIN = "GAIN_ONE"</t>
  </si>
  <si>
    <t>D35</t>
  </si>
  <si>
    <t>D36</t>
  </si>
  <si>
    <t>SCALE_FACTOR</t>
  </si>
  <si>
    <t>D30</t>
  </si>
  <si>
    <t>C8</t>
  </si>
  <si>
    <t>C9</t>
  </si>
  <si>
    <t>COMBINED_FACTOR</t>
  </si>
  <si>
    <t>D36*D30</t>
  </si>
  <si>
    <t>SECTION 7: VOLTAGE SWEEP TABLE</t>
  </si>
  <si>
    <t>V_batt (V)</t>
  </si>
  <si>
    <t>V_div (V)</t>
  </si>
  <si>
    <t>ADC Raw</t>
  </si>
  <si>
    <t>Reconstructed (V)</t>
  </si>
  <si>
    <t>Error (V)</t>
  </si>
  <si>
    <t>Status</t>
  </si>
  <si>
    <t>raw from ADC (Sec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</si>
</sst>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"/>
    <numFmt numFmtId="166" formatCode="0.000000"/>
    <numFmt numFmtId="167" formatCode="0.00000"/>
    <numFmt numFmtId="168" formatCode="0.000%"/>
    <numFmt numFmtId="169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 Unicode MS"/>
      <family val="2"/>
    </font>
    <font>
      <b/>
      <sz val="14"/>
      <color theme="1"/>
      <name val="Calibri"/>
      <family val="2"/>
    </font>
    <font>
      <b/>
      <sz val="11"/>
      <color rgb="FFFFFF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i/>
      <sz val="11"/>
      <color rgb="FF808080"/>
      <name val="Aptos Narrow"/>
      <family val="2"/>
      <scheme val="minor"/>
    </font>
    <font>
      <sz val="10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AEEF3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1" fillId="4" borderId="0" xfId="0" applyFont="1" applyFill="1"/>
    <xf numFmtId="0" fontId="0" fillId="4" borderId="0" xfId="0" applyFill="1"/>
    <xf numFmtId="0" fontId="0" fillId="0" borderId="1" xfId="0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0" fontId="6" fillId="0" borderId="1" xfId="0" applyFont="1" applyBorder="1"/>
    <xf numFmtId="3" fontId="5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" fontId="5" fillId="5" borderId="3" xfId="0" applyNumberFormat="1" applyFont="1" applyFill="1" applyBorder="1" applyAlignment="1">
      <alignment horizontal="center"/>
    </xf>
    <xf numFmtId="0" fontId="6" fillId="0" borderId="3" xfId="0" applyFont="1" applyBorder="1"/>
    <xf numFmtId="0" fontId="1" fillId="3" borderId="4" xfId="0" applyFont="1" applyFill="1" applyBorder="1"/>
    <xf numFmtId="0" fontId="0" fillId="0" borderId="5" xfId="0" applyBorder="1"/>
    <xf numFmtId="0" fontId="0" fillId="0" borderId="6" xfId="0" applyBorder="1"/>
    <xf numFmtId="0" fontId="0" fillId="3" borderId="7" xfId="0" applyFill="1" applyBorder="1"/>
    <xf numFmtId="0" fontId="6" fillId="0" borderId="8" xfId="0" applyFont="1" applyBorder="1"/>
    <xf numFmtId="0" fontId="6" fillId="0" borderId="9" xfId="0" applyFont="1" applyBorder="1"/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/>
    <xf numFmtId="0" fontId="1" fillId="0" borderId="3" xfId="0" applyFont="1" applyBorder="1" applyAlignment="1">
      <alignment horizontal="center"/>
    </xf>
    <xf numFmtId="0" fontId="1" fillId="3" borderId="7" xfId="0" applyFont="1" applyFill="1" applyBorder="1"/>
    <xf numFmtId="168" fontId="0" fillId="0" borderId="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/>
    <xf numFmtId="0" fontId="1" fillId="4" borderId="7" xfId="0" applyFont="1" applyFill="1" applyBorder="1"/>
    <xf numFmtId="0" fontId="7" fillId="0" borderId="8" xfId="0" applyFont="1" applyBorder="1"/>
    <xf numFmtId="0" fontId="7" fillId="0" borderId="9" xfId="0" applyFont="1" applyBorder="1"/>
    <xf numFmtId="3" fontId="0" fillId="0" borderId="3" xfId="0" applyNumberForma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169" fontId="0" fillId="0" borderId="5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15FAF1A-23F9-4D56-8B90-7D1EB01F7143}">
  <we:reference id="29673e3c-d826-4f00-92ee-162334a52b1a" version="1.0.0.8" store="EXCatalog" storeType="EXCatalog"/>
  <we:alternateReferences>
    <we:reference id="WA200009404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1DC9-A129-40A8-8EC0-63D5F00EA053}">
  <dimension ref="A1:G78"/>
  <sheetViews>
    <sheetView tabSelected="1" workbookViewId="0">
      <pane ySplit="1" topLeftCell="A35" activePane="bottomLeft" state="frozen"/>
      <selection pane="bottomLeft" activeCell="C48" sqref="C48"/>
    </sheetView>
  </sheetViews>
  <sheetFormatPr defaultRowHeight="14.4" x14ac:dyDescent="0.3"/>
  <cols>
    <col min="1" max="1" width="40.77734375" customWidth="1"/>
    <col min="2" max="2" width="14.77734375" customWidth="1"/>
    <col min="3" max="3" width="25.88671875" customWidth="1"/>
    <col min="4" max="4" width="22.21875" customWidth="1"/>
    <col min="5" max="5" width="13.88671875" customWidth="1"/>
    <col min="6" max="6" width="51.88671875" customWidth="1"/>
  </cols>
  <sheetData>
    <row r="1" spans="1:7" ht="18" x14ac:dyDescent="0.35">
      <c r="A1" s="2" t="s">
        <v>0</v>
      </c>
      <c r="G1" s="1"/>
    </row>
    <row r="3" spans="1:7" x14ac:dyDescent="0.3">
      <c r="A3" s="3" t="s">
        <v>1</v>
      </c>
      <c r="B3" s="4"/>
      <c r="C3" s="4"/>
      <c r="D3" s="4"/>
      <c r="E3" s="4"/>
      <c r="F3" s="4"/>
    </row>
    <row r="4" spans="1:7" x14ac:dyDescent="0.3">
      <c r="A4" s="16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9"/>
    </row>
    <row r="5" spans="1:7" x14ac:dyDescent="0.3">
      <c r="A5" s="17" t="s">
        <v>7</v>
      </c>
      <c r="B5" s="7" t="s">
        <v>8</v>
      </c>
      <c r="C5" s="8">
        <v>12.6</v>
      </c>
      <c r="D5" s="7" t="s">
        <v>9</v>
      </c>
      <c r="E5" s="9" t="s">
        <v>10</v>
      </c>
      <c r="F5" s="20"/>
    </row>
    <row r="6" spans="1:7" x14ac:dyDescent="0.3">
      <c r="A6" s="17" t="s">
        <v>11</v>
      </c>
      <c r="B6" s="7" t="s">
        <v>12</v>
      </c>
      <c r="C6" s="8">
        <v>9</v>
      </c>
      <c r="D6" s="7" t="s">
        <v>9</v>
      </c>
      <c r="E6" s="9" t="s">
        <v>13</v>
      </c>
      <c r="F6" s="20"/>
    </row>
    <row r="7" spans="1:7" x14ac:dyDescent="0.3">
      <c r="A7" s="17" t="s">
        <v>14</v>
      </c>
      <c r="B7" s="7" t="s">
        <v>15</v>
      </c>
      <c r="C7" s="8">
        <v>12.6</v>
      </c>
      <c r="D7" s="7" t="s">
        <v>9</v>
      </c>
      <c r="E7" s="9" t="s">
        <v>16</v>
      </c>
      <c r="F7" s="20"/>
    </row>
    <row r="8" spans="1:7" x14ac:dyDescent="0.3">
      <c r="A8" s="17" t="s">
        <v>17</v>
      </c>
      <c r="B8" s="7" t="s">
        <v>18</v>
      </c>
      <c r="C8" s="10">
        <v>30000</v>
      </c>
      <c r="D8" s="7" t="s">
        <v>19</v>
      </c>
      <c r="E8" s="9" t="s">
        <v>20</v>
      </c>
      <c r="F8" s="20"/>
    </row>
    <row r="9" spans="1:7" x14ac:dyDescent="0.3">
      <c r="A9" s="17" t="s">
        <v>21</v>
      </c>
      <c r="B9" s="7" t="s">
        <v>22</v>
      </c>
      <c r="C9" s="10">
        <v>7500</v>
      </c>
      <c r="D9" s="7" t="s">
        <v>19</v>
      </c>
      <c r="E9" s="9" t="s">
        <v>23</v>
      </c>
      <c r="F9" s="20"/>
    </row>
    <row r="10" spans="1:7" x14ac:dyDescent="0.3">
      <c r="A10" s="17" t="s">
        <v>24</v>
      </c>
      <c r="B10" s="7" t="s">
        <v>25</v>
      </c>
      <c r="C10" s="11" t="s">
        <v>26</v>
      </c>
      <c r="D10" s="7"/>
      <c r="E10" s="9" t="s">
        <v>27</v>
      </c>
      <c r="F10" s="20"/>
    </row>
    <row r="11" spans="1:7" x14ac:dyDescent="0.3">
      <c r="A11" s="18" t="s">
        <v>28</v>
      </c>
      <c r="B11" s="13" t="s">
        <v>29</v>
      </c>
      <c r="C11" s="14">
        <v>16</v>
      </c>
      <c r="D11" s="13" t="s">
        <v>30</v>
      </c>
      <c r="E11" s="15" t="s">
        <v>31</v>
      </c>
      <c r="F11" s="21"/>
    </row>
    <row r="13" spans="1:7" x14ac:dyDescent="0.3">
      <c r="A13" s="3" t="s">
        <v>32</v>
      </c>
      <c r="B13" s="4"/>
      <c r="C13" s="4"/>
      <c r="D13" s="4"/>
      <c r="E13" s="4"/>
      <c r="F13" s="4"/>
    </row>
    <row r="14" spans="1:7" x14ac:dyDescent="0.3">
      <c r="A14" s="16" t="s">
        <v>33</v>
      </c>
      <c r="B14" s="12" t="s">
        <v>34</v>
      </c>
      <c r="C14" s="12" t="s">
        <v>35</v>
      </c>
      <c r="D14" s="26" t="s">
        <v>36</v>
      </c>
    </row>
    <row r="15" spans="1:7" x14ac:dyDescent="0.3">
      <c r="A15" s="17" t="s">
        <v>37</v>
      </c>
      <c r="B15" s="22">
        <v>0.66669999999999996</v>
      </c>
      <c r="C15" s="23">
        <v>6.1440000000000001</v>
      </c>
      <c r="D15" s="27">
        <f>C15/(2^15)</f>
        <v>1.875E-4</v>
      </c>
    </row>
    <row r="16" spans="1:7" x14ac:dyDescent="0.3">
      <c r="A16" s="17" t="s">
        <v>26</v>
      </c>
      <c r="B16" s="22">
        <v>1</v>
      </c>
      <c r="C16" s="23">
        <v>4.0960000000000001</v>
      </c>
      <c r="D16" s="27">
        <f>C16/(2^15)</f>
        <v>1.25E-4</v>
      </c>
    </row>
    <row r="17" spans="1:6" x14ac:dyDescent="0.3">
      <c r="A17" s="17" t="s">
        <v>38</v>
      </c>
      <c r="B17" s="22">
        <v>2</v>
      </c>
      <c r="C17" s="23">
        <v>2.048</v>
      </c>
      <c r="D17" s="27">
        <f>C17/(2^15)</f>
        <v>6.2500000000000001E-5</v>
      </c>
    </row>
    <row r="18" spans="1:6" x14ac:dyDescent="0.3">
      <c r="A18" s="17" t="s">
        <v>39</v>
      </c>
      <c r="B18" s="22">
        <v>4</v>
      </c>
      <c r="C18" s="23">
        <v>1.024</v>
      </c>
      <c r="D18" s="27">
        <f>C18/(2^15)</f>
        <v>3.1250000000000001E-5</v>
      </c>
    </row>
    <row r="19" spans="1:6" x14ac:dyDescent="0.3">
      <c r="A19" s="17" t="s">
        <v>40</v>
      </c>
      <c r="B19" s="22">
        <v>8</v>
      </c>
      <c r="C19" s="23">
        <v>0.51200000000000001</v>
      </c>
      <c r="D19" s="27">
        <f>C19/(2^15)</f>
        <v>1.5625E-5</v>
      </c>
    </row>
    <row r="20" spans="1:6" x14ac:dyDescent="0.3">
      <c r="A20" s="18" t="s">
        <v>41</v>
      </c>
      <c r="B20" s="24">
        <v>16</v>
      </c>
      <c r="C20" s="25">
        <v>0.25600000000000001</v>
      </c>
      <c r="D20" s="28">
        <f>C20/(2^15)</f>
        <v>7.8125000000000002E-6</v>
      </c>
    </row>
    <row r="23" spans="1:6" x14ac:dyDescent="0.3">
      <c r="A23" s="3" t="s">
        <v>42</v>
      </c>
      <c r="B23" s="4"/>
      <c r="C23" s="4"/>
      <c r="D23" s="4"/>
      <c r="E23" s="4"/>
      <c r="F23" s="4"/>
    </row>
    <row r="24" spans="1:6" x14ac:dyDescent="0.3">
      <c r="A24" s="16" t="s">
        <v>2</v>
      </c>
      <c r="B24" s="12" t="s">
        <v>3</v>
      </c>
      <c r="C24" s="12" t="s">
        <v>43</v>
      </c>
      <c r="D24" s="12" t="s">
        <v>4</v>
      </c>
      <c r="E24" s="12" t="s">
        <v>5</v>
      </c>
      <c r="F24" s="26" t="s">
        <v>6</v>
      </c>
    </row>
    <row r="25" spans="1:6" x14ac:dyDescent="0.3">
      <c r="A25" s="17" t="s">
        <v>44</v>
      </c>
      <c r="B25" s="7" t="s">
        <v>45</v>
      </c>
      <c r="C25" s="7" t="s">
        <v>46</v>
      </c>
      <c r="D25" s="29">
        <f>C9/(C8+C9)</f>
        <v>0.2</v>
      </c>
      <c r="E25" s="7"/>
      <c r="F25" s="30" t="s">
        <v>47</v>
      </c>
    </row>
    <row r="26" spans="1:6" x14ac:dyDescent="0.3">
      <c r="A26" s="17" t="s">
        <v>48</v>
      </c>
      <c r="B26" s="7" t="s">
        <v>49</v>
      </c>
      <c r="C26" s="7" t="s">
        <v>50</v>
      </c>
      <c r="D26" s="23">
        <f>C5*D25</f>
        <v>2.52</v>
      </c>
      <c r="E26" s="7" t="s">
        <v>9</v>
      </c>
      <c r="F26" s="30" t="s">
        <v>51</v>
      </c>
    </row>
    <row r="27" spans="1:6" x14ac:dyDescent="0.3">
      <c r="A27" s="17" t="s">
        <v>52</v>
      </c>
      <c r="B27" s="7" t="s">
        <v>53</v>
      </c>
      <c r="C27" s="7" t="s">
        <v>54</v>
      </c>
      <c r="D27" s="23">
        <f>C5/(C8+C9)*1000</f>
        <v>0.33599999999999997</v>
      </c>
      <c r="E27" s="7" t="s">
        <v>55</v>
      </c>
      <c r="F27" s="30" t="s">
        <v>56</v>
      </c>
    </row>
    <row r="28" spans="1:6" x14ac:dyDescent="0.3">
      <c r="A28" s="17" t="s">
        <v>57</v>
      </c>
      <c r="B28" s="7"/>
      <c r="C28" s="7" t="s">
        <v>58</v>
      </c>
      <c r="D28" s="23">
        <f>C6*D25</f>
        <v>1.8</v>
      </c>
      <c r="E28" s="7" t="s">
        <v>9</v>
      </c>
      <c r="F28" s="30" t="s">
        <v>59</v>
      </c>
    </row>
    <row r="29" spans="1:6" x14ac:dyDescent="0.3">
      <c r="A29" s="17" t="s">
        <v>60</v>
      </c>
      <c r="B29" s="7"/>
      <c r="C29" s="7" t="s">
        <v>61</v>
      </c>
      <c r="D29" s="23">
        <f>C7*D25</f>
        <v>2.52</v>
      </c>
      <c r="E29" s="7" t="s">
        <v>9</v>
      </c>
      <c r="F29" s="30" t="s">
        <v>62</v>
      </c>
    </row>
    <row r="30" spans="1:6" x14ac:dyDescent="0.3">
      <c r="A30" s="18" t="s">
        <v>63</v>
      </c>
      <c r="B30" s="13" t="s">
        <v>64</v>
      </c>
      <c r="C30" s="13" t="s">
        <v>65</v>
      </c>
      <c r="D30" s="25">
        <f>(C8+C9)/C9</f>
        <v>5</v>
      </c>
      <c r="E30" s="13"/>
      <c r="F30" s="31" t="s">
        <v>66</v>
      </c>
    </row>
    <row r="32" spans="1:6" x14ac:dyDescent="0.3">
      <c r="A32" s="3" t="s">
        <v>67</v>
      </c>
      <c r="B32" s="4"/>
      <c r="C32" s="4"/>
      <c r="D32" s="4"/>
      <c r="E32" s="4"/>
      <c r="F32" s="4"/>
    </row>
    <row r="33" spans="1:6" x14ac:dyDescent="0.3">
      <c r="A33" s="16" t="s">
        <v>2</v>
      </c>
      <c r="B33" s="12" t="s">
        <v>3</v>
      </c>
      <c r="C33" s="12" t="s">
        <v>43</v>
      </c>
      <c r="D33" s="12" t="s">
        <v>4</v>
      </c>
      <c r="E33" s="12" t="s">
        <v>5</v>
      </c>
      <c r="F33" s="26" t="s">
        <v>6</v>
      </c>
    </row>
    <row r="34" spans="1:6" x14ac:dyDescent="0.3">
      <c r="A34" s="17" t="s">
        <v>68</v>
      </c>
      <c r="B34" s="7" t="s">
        <v>25</v>
      </c>
      <c r="C34" s="7" t="s">
        <v>69</v>
      </c>
      <c r="D34" s="22">
        <f>VLOOKUP(C10,A15:D20,2,FALSE)</f>
        <v>1</v>
      </c>
      <c r="E34" s="7" t="s">
        <v>84</v>
      </c>
      <c r="F34" s="30" t="s">
        <v>70</v>
      </c>
    </row>
    <row r="35" spans="1:6" x14ac:dyDescent="0.3">
      <c r="A35" s="17" t="s">
        <v>71</v>
      </c>
      <c r="B35" s="7" t="s">
        <v>72</v>
      </c>
      <c r="C35" s="7" t="s">
        <v>69</v>
      </c>
      <c r="D35" s="23">
        <f>VLOOKUP(C10,A15:D20,3,FALSE)</f>
        <v>4.0960000000000001</v>
      </c>
      <c r="E35" s="7" t="s">
        <v>9</v>
      </c>
      <c r="F35" s="30" t="s">
        <v>85</v>
      </c>
    </row>
    <row r="36" spans="1:6" x14ac:dyDescent="0.3">
      <c r="A36" s="17" t="s">
        <v>73</v>
      </c>
      <c r="B36" s="7" t="s">
        <v>74</v>
      </c>
      <c r="C36" s="7" t="s">
        <v>75</v>
      </c>
      <c r="D36" s="32">
        <f>VLOOKUP(C10,A15:D20,4,FALSE)</f>
        <v>1.25E-4</v>
      </c>
      <c r="E36" s="7" t="s">
        <v>76</v>
      </c>
      <c r="F36" s="30" t="s">
        <v>77</v>
      </c>
    </row>
    <row r="37" spans="1:6" x14ac:dyDescent="0.3">
      <c r="A37" s="17" t="s">
        <v>78</v>
      </c>
      <c r="B37" s="7"/>
      <c r="C37" s="7" t="s">
        <v>79</v>
      </c>
      <c r="D37" s="33">
        <f>2^(C11-1)-1</f>
        <v>32767</v>
      </c>
      <c r="E37" s="7" t="s">
        <v>80</v>
      </c>
      <c r="F37" s="30" t="s">
        <v>81</v>
      </c>
    </row>
    <row r="38" spans="1:6" x14ac:dyDescent="0.3">
      <c r="A38" s="17"/>
      <c r="B38" s="34"/>
      <c r="C38" s="34"/>
      <c r="D38" s="34"/>
      <c r="E38" s="34"/>
      <c r="F38" s="20"/>
    </row>
    <row r="39" spans="1:6" x14ac:dyDescent="0.3">
      <c r="A39" s="17" t="s">
        <v>82</v>
      </c>
      <c r="B39" s="7" t="s">
        <v>83</v>
      </c>
      <c r="C39" s="7" t="s">
        <v>86</v>
      </c>
      <c r="D39" s="32">
        <f>D26</f>
        <v>2.52</v>
      </c>
      <c r="E39" s="7" t="s">
        <v>9</v>
      </c>
      <c r="F39" s="30" t="s">
        <v>87</v>
      </c>
    </row>
    <row r="40" spans="1:6" x14ac:dyDescent="0.3">
      <c r="A40" s="17" t="s">
        <v>88</v>
      </c>
      <c r="B40" s="7" t="s">
        <v>89</v>
      </c>
      <c r="C40" s="7" t="s">
        <v>90</v>
      </c>
      <c r="D40" s="33">
        <f>INT(D39/D36)</f>
        <v>20160</v>
      </c>
      <c r="E40" s="7" t="s">
        <v>80</v>
      </c>
      <c r="F40" s="30" t="s">
        <v>91</v>
      </c>
    </row>
    <row r="41" spans="1:6" x14ac:dyDescent="0.3">
      <c r="A41" s="18" t="s">
        <v>92</v>
      </c>
      <c r="B41" s="13"/>
      <c r="C41" s="13" t="s">
        <v>93</v>
      </c>
      <c r="D41" s="35" t="str">
        <f>IF(D26&lt;D35,"OK","CLIPPED")</f>
        <v>OK</v>
      </c>
      <c r="E41" s="13"/>
      <c r="F41" s="31" t="s">
        <v>94</v>
      </c>
    </row>
    <row r="43" spans="1:6" x14ac:dyDescent="0.3">
      <c r="A43" s="3" t="s">
        <v>95</v>
      </c>
      <c r="B43" s="4"/>
      <c r="C43" s="4"/>
      <c r="D43" s="4"/>
      <c r="E43" s="4"/>
      <c r="F43" s="4"/>
    </row>
    <row r="44" spans="1:6" x14ac:dyDescent="0.3">
      <c r="A44" s="16" t="s">
        <v>2</v>
      </c>
      <c r="B44" s="12" t="s">
        <v>3</v>
      </c>
      <c r="C44" s="12" t="s">
        <v>43</v>
      </c>
      <c r="D44" s="12" t="s">
        <v>4</v>
      </c>
      <c r="E44" s="12" t="s">
        <v>5</v>
      </c>
      <c r="F44" s="36" t="s">
        <v>6</v>
      </c>
    </row>
    <row r="45" spans="1:6" x14ac:dyDescent="0.3">
      <c r="A45" s="17" t="s">
        <v>96</v>
      </c>
      <c r="B45" s="7" t="s">
        <v>97</v>
      </c>
      <c r="C45" s="7" t="s">
        <v>146</v>
      </c>
      <c r="D45" s="33">
        <f>D40</f>
        <v>20160</v>
      </c>
      <c r="E45" s="7" t="s">
        <v>80</v>
      </c>
      <c r="F45" s="20" t="s">
        <v>98</v>
      </c>
    </row>
    <row r="46" spans="1:6" x14ac:dyDescent="0.3">
      <c r="A46" s="17" t="s">
        <v>99</v>
      </c>
      <c r="B46" s="7" t="s">
        <v>100</v>
      </c>
      <c r="C46" s="7" t="s">
        <v>101</v>
      </c>
      <c r="D46" s="32">
        <f>D45*D36</f>
        <v>2.52</v>
      </c>
      <c r="E46" s="7" t="s">
        <v>9</v>
      </c>
      <c r="F46" s="20" t="s">
        <v>102</v>
      </c>
    </row>
    <row r="47" spans="1:6" x14ac:dyDescent="0.3">
      <c r="A47" s="17" t="s">
        <v>103</v>
      </c>
      <c r="B47" s="7" t="s">
        <v>104</v>
      </c>
      <c r="C47" s="7" t="s">
        <v>105</v>
      </c>
      <c r="D47" s="23">
        <f>D46*D30</f>
        <v>12.6</v>
      </c>
      <c r="E47" s="7" t="s">
        <v>9</v>
      </c>
      <c r="F47" s="20" t="s">
        <v>106</v>
      </c>
    </row>
    <row r="48" spans="1:6" x14ac:dyDescent="0.3">
      <c r="A48" s="18" t="s">
        <v>107</v>
      </c>
      <c r="B48" s="13" t="s">
        <v>104</v>
      </c>
      <c r="C48" s="13" t="s">
        <v>108</v>
      </c>
      <c r="D48" s="25">
        <f>D45*D36*D30</f>
        <v>12.6</v>
      </c>
      <c r="E48" s="13" t="s">
        <v>9</v>
      </c>
      <c r="F48" s="21" t="s">
        <v>109</v>
      </c>
    </row>
    <row r="50" spans="1:6" x14ac:dyDescent="0.3">
      <c r="A50" s="3" t="s">
        <v>110</v>
      </c>
      <c r="B50" s="4"/>
      <c r="C50" s="4"/>
      <c r="D50" s="4"/>
      <c r="E50" s="4"/>
      <c r="F50" s="4"/>
    </row>
    <row r="51" spans="1:6" x14ac:dyDescent="0.3">
      <c r="A51" s="16" t="s">
        <v>2</v>
      </c>
      <c r="B51" s="12" t="s">
        <v>3</v>
      </c>
      <c r="C51" s="12" t="s">
        <v>43</v>
      </c>
      <c r="D51" s="12" t="s">
        <v>4</v>
      </c>
      <c r="E51" s="12" t="s">
        <v>5</v>
      </c>
      <c r="F51" s="36" t="s">
        <v>6</v>
      </c>
    </row>
    <row r="52" spans="1:6" x14ac:dyDescent="0.3">
      <c r="A52" s="17" t="s">
        <v>111</v>
      </c>
      <c r="B52" s="7" t="s">
        <v>112</v>
      </c>
      <c r="C52" s="7" t="s">
        <v>113</v>
      </c>
      <c r="D52" s="32">
        <f>D47-C5</f>
        <v>0</v>
      </c>
      <c r="E52" s="7" t="s">
        <v>9</v>
      </c>
      <c r="F52" s="20" t="s">
        <v>114</v>
      </c>
    </row>
    <row r="53" spans="1:6" x14ac:dyDescent="0.3">
      <c r="A53" s="17" t="s">
        <v>115</v>
      </c>
      <c r="B53" s="7" t="s">
        <v>116</v>
      </c>
      <c r="C53" s="7" t="s">
        <v>117</v>
      </c>
      <c r="D53" s="37">
        <f>IF(C5=0,0,D52/C5)</f>
        <v>0</v>
      </c>
      <c r="E53" s="7" t="s">
        <v>118</v>
      </c>
      <c r="F53" s="20" t="s">
        <v>119</v>
      </c>
    </row>
    <row r="54" spans="1:6" x14ac:dyDescent="0.3">
      <c r="A54" s="18" t="s">
        <v>120</v>
      </c>
      <c r="B54" s="13" t="s">
        <v>121</v>
      </c>
      <c r="C54" s="13" t="s">
        <v>122</v>
      </c>
      <c r="D54" s="38">
        <f>D36*D30</f>
        <v>6.2500000000000001E-4</v>
      </c>
      <c r="E54" s="13" t="s">
        <v>76</v>
      </c>
      <c r="F54" s="21" t="s">
        <v>123</v>
      </c>
    </row>
    <row r="56" spans="1:6" x14ac:dyDescent="0.3">
      <c r="A56" s="5" t="s">
        <v>124</v>
      </c>
      <c r="B56" s="6"/>
      <c r="C56" s="6"/>
      <c r="D56" s="6"/>
      <c r="E56" s="6"/>
      <c r="F56" s="6"/>
    </row>
    <row r="57" spans="1:6" x14ac:dyDescent="0.3">
      <c r="A57" s="40" t="s">
        <v>125</v>
      </c>
      <c r="B57" s="39" t="s">
        <v>4</v>
      </c>
      <c r="C57" s="39" t="s">
        <v>126</v>
      </c>
      <c r="D57" s="41" t="s">
        <v>127</v>
      </c>
    </row>
    <row r="58" spans="1:6" x14ac:dyDescent="0.3">
      <c r="A58" s="17" t="s">
        <v>128</v>
      </c>
      <c r="B58" s="7" t="str">
        <f>C10</f>
        <v>GAIN_ONE</v>
      </c>
      <c r="C58" s="7" t="s">
        <v>129</v>
      </c>
      <c r="D58" s="42" t="s">
        <v>130</v>
      </c>
    </row>
    <row r="59" spans="1:6" x14ac:dyDescent="0.3">
      <c r="A59" s="17" t="s">
        <v>72</v>
      </c>
      <c r="B59" s="23">
        <f>D35</f>
        <v>4.0960000000000001</v>
      </c>
      <c r="C59" s="7" t="s">
        <v>131</v>
      </c>
      <c r="D59" s="42" t="str">
        <f>"FSR = "&amp;TEXT(D35,"0.000")</f>
        <v>FSR = 4.096</v>
      </c>
    </row>
    <row r="60" spans="1:6" x14ac:dyDescent="0.3">
      <c r="A60" s="17" t="s">
        <v>74</v>
      </c>
      <c r="B60" s="32">
        <f>D36</f>
        <v>1.25E-4</v>
      </c>
      <c r="C60" s="7" t="s">
        <v>132</v>
      </c>
      <c r="D60" s="42" t="str">
        <f>"LSB = "&amp;TEXT(D36,"0.000000")</f>
        <v>LSB = 0.000125</v>
      </c>
    </row>
    <row r="61" spans="1:6" x14ac:dyDescent="0.3">
      <c r="A61" s="17" t="s">
        <v>133</v>
      </c>
      <c r="B61" s="23">
        <f>D30</f>
        <v>5</v>
      </c>
      <c r="C61" s="7" t="s">
        <v>134</v>
      </c>
      <c r="D61" s="42" t="str">
        <f>"SCALE_FACTOR = "&amp;TEXT(D30,"0.000")</f>
        <v>SCALE_FACTOR = 5.000</v>
      </c>
    </row>
    <row r="62" spans="1:6" x14ac:dyDescent="0.3">
      <c r="A62" s="17" t="s">
        <v>18</v>
      </c>
      <c r="B62" s="33">
        <f>C8</f>
        <v>30000</v>
      </c>
      <c r="C62" s="7" t="s">
        <v>135</v>
      </c>
      <c r="D62" s="42" t="str">
        <f>"R1 = "&amp;TEXT(C8,"#,##0")</f>
        <v>R1 = 30,000</v>
      </c>
    </row>
    <row r="63" spans="1:6" x14ac:dyDescent="0.3">
      <c r="A63" s="17" t="s">
        <v>22</v>
      </c>
      <c r="B63" s="33">
        <f>C9</f>
        <v>7500</v>
      </c>
      <c r="C63" s="7" t="s">
        <v>136</v>
      </c>
      <c r="D63" s="42" t="str">
        <f>"R2 = "&amp;TEXT(C9,"#,##0")</f>
        <v>R2 = 7,500</v>
      </c>
    </row>
    <row r="64" spans="1:6" x14ac:dyDescent="0.3">
      <c r="A64" s="18" t="s">
        <v>137</v>
      </c>
      <c r="B64" s="38">
        <f>D36*D30</f>
        <v>6.2500000000000001E-4</v>
      </c>
      <c r="C64" s="13" t="s">
        <v>138</v>
      </c>
      <c r="D64" s="43" t="str">
        <f>"COMBINED_FACTOR = "&amp;TEXT(D36*D30,"0.000000")&amp;"  # raw * this = V_batt"</f>
        <v>COMBINED_FACTOR = 0.000625  # raw * this = V_batt</v>
      </c>
    </row>
    <row r="66" spans="1:6" x14ac:dyDescent="0.3">
      <c r="A66" s="3" t="s">
        <v>139</v>
      </c>
      <c r="B66" s="4"/>
      <c r="C66" s="4"/>
      <c r="D66" s="4"/>
      <c r="E66" s="4"/>
      <c r="F66" s="4"/>
    </row>
    <row r="67" spans="1:6" x14ac:dyDescent="0.3">
      <c r="A67" s="45" t="s">
        <v>140</v>
      </c>
      <c r="B67" s="12" t="s">
        <v>141</v>
      </c>
      <c r="C67" s="12" t="s">
        <v>142</v>
      </c>
      <c r="D67" s="12" t="s">
        <v>143</v>
      </c>
      <c r="E67" s="12" t="s">
        <v>144</v>
      </c>
      <c r="F67" s="26" t="s">
        <v>145</v>
      </c>
    </row>
    <row r="68" spans="1:6" x14ac:dyDescent="0.3">
      <c r="A68" s="46">
        <v>9</v>
      </c>
      <c r="B68" s="23">
        <f>A68*$D$25</f>
        <v>1.8</v>
      </c>
      <c r="C68" s="33">
        <f>INT(B68/$D$36)</f>
        <v>14400</v>
      </c>
      <c r="D68" s="23">
        <f>C68*$D$36*$D$30</f>
        <v>9</v>
      </c>
      <c r="E68" s="32">
        <f>D68-A68</f>
        <v>0</v>
      </c>
      <c r="F68" s="48" t="str">
        <f>IF(B68&gt;$D$35,"CLIPPED",IF(ABS(E68)&lt;0.01,"PASS","CHECK"))</f>
        <v>PASS</v>
      </c>
    </row>
    <row r="69" spans="1:6" x14ac:dyDescent="0.3">
      <c r="A69" s="46">
        <v>9.5</v>
      </c>
      <c r="B69" s="23">
        <f>A69*$D$25</f>
        <v>1.9000000000000001</v>
      </c>
      <c r="C69" s="33">
        <f>INT(B69/$D$36)</f>
        <v>15200</v>
      </c>
      <c r="D69" s="23">
        <f>C69*$D$36*$D$30</f>
        <v>9.5</v>
      </c>
      <c r="E69" s="32">
        <f>D69-A69</f>
        <v>0</v>
      </c>
      <c r="F69" s="48" t="str">
        <f>IF(B69&gt;$D$35,"CLIPPED",IF(ABS(E69)&lt;0.01,"PASS","CHECK"))</f>
        <v>PASS</v>
      </c>
    </row>
    <row r="70" spans="1:6" x14ac:dyDescent="0.3">
      <c r="A70" s="46">
        <v>10</v>
      </c>
      <c r="B70" s="23">
        <f>A70*$D$25</f>
        <v>2</v>
      </c>
      <c r="C70" s="33">
        <f>INT(B70/$D$36)</f>
        <v>16000</v>
      </c>
      <c r="D70" s="23">
        <f>C70*$D$36*$D$30</f>
        <v>10</v>
      </c>
      <c r="E70" s="32">
        <f>D70-A70</f>
        <v>0</v>
      </c>
      <c r="F70" s="48" t="str">
        <f>IF(B70&gt;$D$35,"CLIPPED",IF(ABS(E70)&lt;0.01,"PASS","CHECK"))</f>
        <v>PASS</v>
      </c>
    </row>
    <row r="71" spans="1:6" x14ac:dyDescent="0.3">
      <c r="A71" s="46">
        <v>10.5</v>
      </c>
      <c r="B71" s="23">
        <f>A71*$D$25</f>
        <v>2.1</v>
      </c>
      <c r="C71" s="33">
        <f>INT(B71/$D$36)</f>
        <v>16800</v>
      </c>
      <c r="D71" s="23">
        <f>C71*$D$36*$D$30</f>
        <v>10.5</v>
      </c>
      <c r="E71" s="32">
        <f>D71-A71</f>
        <v>0</v>
      </c>
      <c r="F71" s="48" t="str">
        <f>IF(B71&gt;$D$35,"CLIPPED",IF(ABS(E71)&lt;0.01,"PASS","CHECK"))</f>
        <v>PASS</v>
      </c>
    </row>
    <row r="72" spans="1:6" x14ac:dyDescent="0.3">
      <c r="A72" s="46">
        <v>11</v>
      </c>
      <c r="B72" s="23">
        <f>A72*$D$25</f>
        <v>2.2000000000000002</v>
      </c>
      <c r="C72" s="33">
        <f>INT(B72/$D$36)</f>
        <v>17600</v>
      </c>
      <c r="D72" s="23">
        <f>C72*$D$36*$D$30</f>
        <v>11</v>
      </c>
      <c r="E72" s="32">
        <f>D72-A72</f>
        <v>0</v>
      </c>
      <c r="F72" s="48" t="str">
        <f>IF(B72&gt;$D$35,"CLIPPED",IF(ABS(E72)&lt;0.01,"PASS","CHECK"))</f>
        <v>PASS</v>
      </c>
    </row>
    <row r="73" spans="1:6" x14ac:dyDescent="0.3">
      <c r="A73" s="46">
        <v>11.5</v>
      </c>
      <c r="B73" s="23">
        <f>A73*$D$25</f>
        <v>2.3000000000000003</v>
      </c>
      <c r="C73" s="33">
        <f>INT(B73/$D$36)</f>
        <v>18400</v>
      </c>
      <c r="D73" s="23">
        <f>C73*$D$36*$D$30</f>
        <v>11.500000000000002</v>
      </c>
      <c r="E73" s="32">
        <f>D73-A73</f>
        <v>0</v>
      </c>
      <c r="F73" s="48" t="str">
        <f>IF(B73&gt;$D$35,"CLIPPED",IF(ABS(E73)&lt;0.01,"PASS","CHECK"))</f>
        <v>PASS</v>
      </c>
    </row>
    <row r="74" spans="1:6" x14ac:dyDescent="0.3">
      <c r="A74" s="46">
        <v>12</v>
      </c>
      <c r="B74" s="23">
        <f>A74*$D$25</f>
        <v>2.4000000000000004</v>
      </c>
      <c r="C74" s="33">
        <f>INT(B74/$D$36)</f>
        <v>19200</v>
      </c>
      <c r="D74" s="23">
        <f>C74*$D$36*$D$30</f>
        <v>12</v>
      </c>
      <c r="E74" s="32">
        <f>D74-A74</f>
        <v>0</v>
      </c>
      <c r="F74" s="48" t="str">
        <f>IF(B74&gt;$D$35,"CLIPPED",IF(ABS(E74)&lt;0.01,"PASS","CHECK"))</f>
        <v>PASS</v>
      </c>
    </row>
    <row r="75" spans="1:6" x14ac:dyDescent="0.3">
      <c r="A75" s="46">
        <v>12.5</v>
      </c>
      <c r="B75" s="23">
        <f>A75*$D$25</f>
        <v>2.5</v>
      </c>
      <c r="C75" s="33">
        <f>INT(B75/$D$36)</f>
        <v>20000</v>
      </c>
      <c r="D75" s="23">
        <f>C75*$D$36*$D$30</f>
        <v>12.5</v>
      </c>
      <c r="E75" s="32">
        <f>D75-A75</f>
        <v>0</v>
      </c>
      <c r="F75" s="48" t="str">
        <f>IF(B75&gt;$D$35,"CLIPPED",IF(ABS(E75)&lt;0.01,"PASS","CHECK"))</f>
        <v>PASS</v>
      </c>
    </row>
    <row r="76" spans="1:6" x14ac:dyDescent="0.3">
      <c r="A76" s="46">
        <v>13</v>
      </c>
      <c r="B76" s="23">
        <f>A76*$D$25</f>
        <v>2.6</v>
      </c>
      <c r="C76" s="33">
        <f>INT(B76/$D$36)</f>
        <v>20800</v>
      </c>
      <c r="D76" s="23">
        <f>C76*$D$36*$D$30</f>
        <v>13</v>
      </c>
      <c r="E76" s="32">
        <f>D76-A76</f>
        <v>0</v>
      </c>
      <c r="F76" s="48" t="str">
        <f>IF(B76&gt;$D$35,"CLIPPED",IF(ABS(E76)&lt;0.01,"PASS","CHECK"))</f>
        <v>PASS</v>
      </c>
    </row>
    <row r="77" spans="1:6" x14ac:dyDescent="0.3">
      <c r="A77" s="46">
        <v>13.5</v>
      </c>
      <c r="B77" s="23">
        <f>A77*$D$25</f>
        <v>2.7</v>
      </c>
      <c r="C77" s="33">
        <f>INT(B77/$D$36)</f>
        <v>21600</v>
      </c>
      <c r="D77" s="23">
        <f>C77*$D$36*$D$30</f>
        <v>13.5</v>
      </c>
      <c r="E77" s="32">
        <f>D77-A77</f>
        <v>0</v>
      </c>
      <c r="F77" s="48" t="str">
        <f>IF(B77&gt;$D$35,"CLIPPED",IF(ABS(E77)&lt;0.01,"PASS","CHECK"))</f>
        <v>PASS</v>
      </c>
    </row>
    <row r="78" spans="1:6" x14ac:dyDescent="0.3">
      <c r="A78" s="47">
        <v>14</v>
      </c>
      <c r="B78" s="25">
        <f>A78*$D$25</f>
        <v>2.8000000000000003</v>
      </c>
      <c r="C78" s="44">
        <f>INT(B78/$D$36)</f>
        <v>22400</v>
      </c>
      <c r="D78" s="25">
        <f>C78*$D$36*$D$30</f>
        <v>14.000000000000002</v>
      </c>
      <c r="E78" s="38">
        <f>D78-A78</f>
        <v>0</v>
      </c>
      <c r="F78" s="49" t="str">
        <f>IF(B78&gt;$D$35,"CLIPPED",IF(ABS(E78)&lt;0.01,"PASS","CHECK"))</f>
        <v>PASS</v>
      </c>
    </row>
  </sheetData>
  <conditionalFormatting sqref="D41">
    <cfRule type="containsText" dxfId="3" priority="1" operator="containsText" text="OK">
      <formula>NOT(ISERROR(SEARCH("OK",D41)))</formula>
    </cfRule>
  </conditionalFormatting>
  <conditionalFormatting sqref="D41">
    <cfRule type="containsText" dxfId="2" priority="2" operator="containsText" text="CLIPPED">
      <formula>NOT(ISERROR(SEARCH("CLIPPED",D41)))</formula>
    </cfRule>
  </conditionalFormatting>
  <conditionalFormatting sqref="F68:F78">
    <cfRule type="containsText" dxfId="1" priority="3" operator="containsText" text="PASS">
      <formula>NOT(ISERROR(SEARCH("PASS",F68)))</formula>
    </cfRule>
  </conditionalFormatting>
  <conditionalFormatting sqref="F68:F78">
    <cfRule type="containsText" dxfId="0" priority="4" operator="containsText" text="CLIPPED">
      <formula>NOT(ISERROR(SEARCH("CLIPPED",F68)))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LiPo ADC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Anand K</dc:creator>
  <cp:lastModifiedBy>Lakshmi Anand K</cp:lastModifiedBy>
  <dcterms:created xsi:type="dcterms:W3CDTF">2026-03-29T03:59:36Z</dcterms:created>
  <dcterms:modified xsi:type="dcterms:W3CDTF">2026-03-29T04:12:45Z</dcterms:modified>
</cp:coreProperties>
</file>